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ya\OneDrive\Desktop\QC projects\"/>
    </mc:Choice>
  </mc:AlternateContent>
  <xr:revisionPtr revIDLastSave="0" documentId="13_ncr:1_{94462F9B-A11E-467B-B75B-8C9F6001E12A}" xr6:coauthVersionLast="47" xr6:coauthVersionMax="47" xr10:uidLastSave="{00000000-0000-0000-0000-000000000000}"/>
  <bookViews>
    <workbookView xWindow="-108" yWindow="-108" windowWidth="23256" windowHeight="12456" xr2:uid="{E6C2B361-472D-4272-8EBA-D30A6AEFAAC5}"/>
  </bookViews>
  <sheets>
    <sheet name="Batch Process_Data" sheetId="1" r:id="rId1"/>
    <sheet name="Batch Summary_Data" sheetId="2" r:id="rId2"/>
    <sheet name="Batch_Master" sheetId="3" r:id="rId3"/>
  </sheets>
  <definedNames>
    <definedName name="_xlnm._FilterDatabase" localSheetId="1" hidden="1">'Batch Summary_Data'!$B$1:$I$7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9" i="1"/>
  <c r="Q30" i="1"/>
  <c r="Q31" i="1"/>
  <c r="Q32" i="1"/>
  <c r="Q33" i="1"/>
  <c r="Q34" i="1"/>
  <c r="Q35" i="1"/>
  <c r="Q36" i="1"/>
  <c r="Q38" i="1"/>
  <c r="Q39" i="1"/>
  <c r="Q40" i="1"/>
  <c r="Q41" i="1"/>
  <c r="Q42" i="1"/>
  <c r="Q43" i="1"/>
  <c r="Q44" i="1"/>
  <c r="Q45" i="1"/>
  <c r="Q47" i="1"/>
  <c r="Q48" i="1"/>
  <c r="Q49" i="1"/>
  <c r="Q50" i="1"/>
  <c r="Q51" i="1"/>
  <c r="Q52" i="1"/>
  <c r="Q53" i="1"/>
  <c r="Q54" i="1"/>
  <c r="A5" i="2"/>
  <c r="A2" i="2"/>
  <c r="A4" i="2"/>
  <c r="A7" i="2"/>
  <c r="A3" i="2"/>
  <c r="A6" i="2"/>
</calcChain>
</file>

<file path=xl/sharedStrings.xml><?xml version="1.0" encoding="utf-8"?>
<sst xmlns="http://schemas.openxmlformats.org/spreadsheetml/2006/main" count="537" uniqueCount="54">
  <si>
    <t>Batch_ID</t>
  </si>
  <si>
    <t>Product_Code</t>
  </si>
  <si>
    <t>Process_Step</t>
  </si>
  <si>
    <t>Seq</t>
  </si>
  <si>
    <t>Start</t>
  </si>
  <si>
    <t>End</t>
  </si>
  <si>
    <t>Dur_hr</t>
  </si>
  <si>
    <t>Wait_hr</t>
  </si>
  <si>
    <t>Shift</t>
  </si>
  <si>
    <t>Util_Flag</t>
  </si>
  <si>
    <t>Rework</t>
  </si>
  <si>
    <t>Rework_Reason</t>
  </si>
  <si>
    <t>Rework_hr</t>
  </si>
  <si>
    <t>Deviation</t>
  </si>
  <si>
    <t>Deviation_Category</t>
  </si>
  <si>
    <t>Step_Status</t>
  </si>
  <si>
    <t>Batch_Status</t>
  </si>
  <si>
    <t>BATCH_001</t>
  </si>
  <si>
    <t>TAB_A</t>
  </si>
  <si>
    <t>Material Issuance</t>
  </si>
  <si>
    <t>Day</t>
  </si>
  <si>
    <t>Medium</t>
  </si>
  <si>
    <t>No</t>
  </si>
  <si>
    <t>NA</t>
  </si>
  <si>
    <t>Completed</t>
  </si>
  <si>
    <t>Weighing &amp; Dispensing</t>
  </si>
  <si>
    <t>Production</t>
  </si>
  <si>
    <t>High</t>
  </si>
  <si>
    <t>IPQC</t>
  </si>
  <si>
    <t>Night</t>
  </si>
  <si>
    <t>Documentation</t>
  </si>
  <si>
    <t>Yes</t>
  </si>
  <si>
    <t>Missing Entry</t>
  </si>
  <si>
    <t>QA Review</t>
  </si>
  <si>
    <t>Doc Correction</t>
  </si>
  <si>
    <t>Final Approval</t>
  </si>
  <si>
    <t>Dispatch</t>
  </si>
  <si>
    <t>BATCH_002</t>
  </si>
  <si>
    <t>BATCH_003</t>
  </si>
  <si>
    <t>CAP_B</t>
  </si>
  <si>
    <t>BATCH_004</t>
  </si>
  <si>
    <t>BATCH_005</t>
  </si>
  <si>
    <t>SYR_C</t>
  </si>
  <si>
    <t>BATCH_006</t>
  </si>
  <si>
    <t>Missing Signature</t>
  </si>
  <si>
    <t>Missing Data</t>
  </si>
  <si>
    <t>Incomplete Batch Record</t>
  </si>
  <si>
    <t>Total_Cycle_Time_hr</t>
  </si>
  <si>
    <t>QA_Review_Time_hr</t>
  </si>
  <si>
    <t>QA_Wait_Time_hr</t>
  </si>
  <si>
    <t>QA_Rework_Flag</t>
  </si>
  <si>
    <t>Total_Rework_Time_hr</t>
  </si>
  <si>
    <t>Bottleneck_Step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</si>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</sst>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FBC3E-465D-419D-BCF2-A818F3C4AF6E}" name="Table2" displayName="Table2" ref="A1:I7" totalsRowShown="0" headerRowDxfId="10" dataDxfId="9">
  <autoFilter ref="A1:I7" xr:uid="{E26FBC3E-465D-419D-BCF2-A818F3C4AF6E}"/>
  <tableColumns count="9">
    <tableColumn id="9" xr3:uid="{75FD898B-D0B9-42D8-A02A-F63D49F428E8}" name="Helper Column" dataDxfId="8">
      <calculatedColumnFormula>TRIM(SUBSTITUTE(A2,CHAR(160),""))</calculatedColumnFormula>
    </tableColumn>
    <tableColumn id="1" xr3:uid="{49CC2603-9BDA-418E-BB31-F2F5F27189EC}" name="Batch_ID" dataDxfId="7"/>
    <tableColumn id="2" xr3:uid="{3D873FF2-29C6-4E37-8688-F440C1B52E7A}" name="Product_Code" dataDxfId="6"/>
    <tableColumn id="3" xr3:uid="{78FE57BB-CD38-44FB-A091-DA7054BCECF5}" name="Total_Cycle_Time_hr" dataDxfId="5"/>
    <tableColumn id="4" xr3:uid="{C3D85299-2965-4B9D-A0F0-DF44D6DFEA5C}" name="QA_Review_Time_hr" dataDxfId="4"/>
    <tableColumn id="5" xr3:uid="{3CFC0C19-57A5-4726-BA30-C96F8FCA92E0}" name="QA_Wait_Time_hr" dataDxfId="3"/>
    <tableColumn id="6" xr3:uid="{C5B0A771-CDF5-4AAC-AC1B-9C3F1427304D}" name="QA_Rework_Flag" dataDxfId="2"/>
    <tableColumn id="7" xr3:uid="{83188987-51B6-45BE-B6A9-DABD0E5F9527}" name="Total_Rework_Time_hr" dataDxfId="1"/>
    <tableColumn id="8" xr3:uid="{95B40094-EFF8-4948-A179-E444BBACD2A9}" name="Bottleneck_Ste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AB68-11C2-4155-9662-9D401A09684D}">
  <dimension ref="A1:Q54"/>
  <sheetViews>
    <sheetView tabSelected="1" topLeftCell="B1" workbookViewId="0">
      <selection activeCell="B20" sqref="B20"/>
    </sheetView>
  </sheetViews>
  <sheetFormatPr defaultRowHeight="14.4" x14ac:dyDescent="0.3"/>
  <cols>
    <col min="1" max="1" width="12.44140625" customWidth="1"/>
    <col min="2" max="2" width="13.44140625" customWidth="1"/>
    <col min="5" max="5" width="24.44140625" customWidth="1"/>
    <col min="6" max="6" width="25.2187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2" t="s">
        <v>17</v>
      </c>
      <c r="B2" s="2" t="s">
        <v>18</v>
      </c>
      <c r="C2" s="2" t="s">
        <v>19</v>
      </c>
      <c r="D2" s="2">
        <v>1</v>
      </c>
      <c r="E2" s="3">
        <v>46054.333333333336</v>
      </c>
      <c r="F2" s="3">
        <v>46054.364583333336</v>
      </c>
      <c r="G2" s="2">
        <v>0.75</v>
      </c>
      <c r="H2" s="2">
        <v>0.25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0</v>
      </c>
      <c r="N2" s="2" t="s">
        <v>22</v>
      </c>
      <c r="O2" s="2" t="s">
        <v>23</v>
      </c>
      <c r="P2" s="2" t="s">
        <v>24</v>
      </c>
      <c r="Q2" s="2" t="str">
        <f>IF(O2="Documentation", "Delayed", "On Time")</f>
        <v>On Time</v>
      </c>
    </row>
    <row r="3" spans="1:17" ht="57.6" x14ac:dyDescent="0.3">
      <c r="A3" s="2" t="s">
        <v>17</v>
      </c>
      <c r="B3" s="2" t="s">
        <v>18</v>
      </c>
      <c r="C3" s="2" t="s">
        <v>25</v>
      </c>
      <c r="D3" s="2">
        <v>2</v>
      </c>
      <c r="E3" s="3">
        <v>46054.385416666664</v>
      </c>
      <c r="F3" s="3">
        <v>46054.447916666664</v>
      </c>
      <c r="G3" s="2">
        <v>1.5</v>
      </c>
      <c r="H3" s="2">
        <v>0.5</v>
      </c>
      <c r="I3" s="2" t="s">
        <v>20</v>
      </c>
      <c r="J3" s="2" t="s">
        <v>27</v>
      </c>
      <c r="K3" s="2" t="s">
        <v>22</v>
      </c>
      <c r="L3" s="2" t="s">
        <v>23</v>
      </c>
      <c r="M3" s="2">
        <v>0</v>
      </c>
      <c r="N3" s="2" t="s">
        <v>22</v>
      </c>
      <c r="O3" s="2" t="s">
        <v>23</v>
      </c>
      <c r="P3" s="2" t="s">
        <v>24</v>
      </c>
      <c r="Q3" s="2" t="str">
        <f t="shared" ref="Q3:Q9" si="0">IF(O3="Documentation", "Delayed", "On Time")</f>
        <v>On Time</v>
      </c>
    </row>
    <row r="4" spans="1:17" ht="28.8" x14ac:dyDescent="0.3">
      <c r="A4" s="2" t="s">
        <v>17</v>
      </c>
      <c r="B4" s="2" t="s">
        <v>18</v>
      </c>
      <c r="C4" s="2" t="s">
        <v>26</v>
      </c>
      <c r="D4" s="2">
        <v>3</v>
      </c>
      <c r="E4" s="3">
        <v>46054.46875</v>
      </c>
      <c r="F4" s="3">
        <v>46054.8125</v>
      </c>
      <c r="G4" s="2">
        <v>8.25</v>
      </c>
      <c r="H4" s="2">
        <v>0.75</v>
      </c>
      <c r="I4" s="2" t="s">
        <v>20</v>
      </c>
      <c r="J4" s="2" t="s">
        <v>27</v>
      </c>
      <c r="K4" s="2" t="s">
        <v>22</v>
      </c>
      <c r="L4" s="2" t="s">
        <v>23</v>
      </c>
      <c r="M4" s="2">
        <v>0</v>
      </c>
      <c r="N4" s="2" t="s">
        <v>22</v>
      </c>
      <c r="O4" s="2" t="s">
        <v>23</v>
      </c>
      <c r="P4" s="2" t="s">
        <v>24</v>
      </c>
      <c r="Q4" s="2" t="str">
        <f t="shared" si="0"/>
        <v>On Time</v>
      </c>
    </row>
    <row r="5" spans="1:17" ht="28.8" x14ac:dyDescent="0.3">
      <c r="A5" s="2" t="s">
        <v>17</v>
      </c>
      <c r="B5" s="2" t="s">
        <v>18</v>
      </c>
      <c r="C5" s="2" t="s">
        <v>28</v>
      </c>
      <c r="D5" s="2">
        <v>4</v>
      </c>
      <c r="E5" s="3">
        <v>46054.84375</v>
      </c>
      <c r="F5" s="3">
        <v>46054.895833333336</v>
      </c>
      <c r="G5" s="2">
        <v>1.25</v>
      </c>
      <c r="H5" s="2">
        <v>0.75</v>
      </c>
      <c r="I5" s="2" t="s">
        <v>29</v>
      </c>
      <c r="J5" s="2" t="s">
        <v>21</v>
      </c>
      <c r="K5" s="2" t="s">
        <v>22</v>
      </c>
      <c r="L5" s="2" t="s">
        <v>23</v>
      </c>
      <c r="M5" s="2">
        <v>0</v>
      </c>
      <c r="N5" s="2" t="s">
        <v>22</v>
      </c>
      <c r="O5" s="2" t="s">
        <v>23</v>
      </c>
      <c r="P5" s="2" t="s">
        <v>24</v>
      </c>
      <c r="Q5" s="2" t="str">
        <f t="shared" si="0"/>
        <v>On Time</v>
      </c>
    </row>
    <row r="6" spans="1:17" ht="28.8" x14ac:dyDescent="0.3">
      <c r="A6" s="2" t="s">
        <v>17</v>
      </c>
      <c r="B6" s="2" t="s">
        <v>18</v>
      </c>
      <c r="C6" s="2" t="s">
        <v>30</v>
      </c>
      <c r="D6" s="2">
        <v>5</v>
      </c>
      <c r="E6" s="3">
        <v>46055.375</v>
      </c>
      <c r="F6" s="3">
        <v>46055.489583333336</v>
      </c>
      <c r="G6" s="2">
        <v>2.75</v>
      </c>
      <c r="H6" s="2">
        <v>1.5</v>
      </c>
      <c r="I6" s="2" t="s">
        <v>20</v>
      </c>
      <c r="J6" s="2" t="s">
        <v>27</v>
      </c>
      <c r="K6" s="4" t="s">
        <v>31</v>
      </c>
      <c r="L6" s="2" t="s">
        <v>32</v>
      </c>
      <c r="M6" s="4">
        <v>1.25</v>
      </c>
      <c r="N6" s="4" t="s">
        <v>31</v>
      </c>
      <c r="O6" s="2" t="s">
        <v>30</v>
      </c>
      <c r="P6" s="2" t="s">
        <v>24</v>
      </c>
      <c r="Q6" s="2" t="str">
        <f t="shared" si="0"/>
        <v>Delayed</v>
      </c>
    </row>
    <row r="7" spans="1:17" ht="43.2" x14ac:dyDescent="0.3">
      <c r="A7" s="2" t="s">
        <v>17</v>
      </c>
      <c r="B7" s="2" t="s">
        <v>18</v>
      </c>
      <c r="C7" s="2" t="s">
        <v>33</v>
      </c>
      <c r="D7" s="2">
        <v>6</v>
      </c>
      <c r="E7" s="3">
        <v>46055.552083333336</v>
      </c>
      <c r="F7" s="3">
        <v>46055.75</v>
      </c>
      <c r="G7" s="4">
        <v>4.75</v>
      </c>
      <c r="H7" s="4">
        <v>2</v>
      </c>
      <c r="I7" s="2" t="s">
        <v>20</v>
      </c>
      <c r="J7" s="2" t="s">
        <v>27</v>
      </c>
      <c r="K7" s="4" t="s">
        <v>31</v>
      </c>
      <c r="L7" s="2" t="s">
        <v>34</v>
      </c>
      <c r="M7" s="4">
        <v>1.5</v>
      </c>
      <c r="N7" s="4" t="s">
        <v>31</v>
      </c>
      <c r="O7" s="2" t="s">
        <v>30</v>
      </c>
      <c r="P7" s="2" t="s">
        <v>24</v>
      </c>
      <c r="Q7" s="2" t="str">
        <f t="shared" si="0"/>
        <v>Delayed</v>
      </c>
    </row>
    <row r="8" spans="1:17" ht="28.8" x14ac:dyDescent="0.3">
      <c r="A8" s="2" t="s">
        <v>17</v>
      </c>
      <c r="B8" s="2" t="s">
        <v>18</v>
      </c>
      <c r="C8" s="2" t="s">
        <v>35</v>
      </c>
      <c r="D8" s="2">
        <v>7</v>
      </c>
      <c r="E8" s="3">
        <v>46056.416666666664</v>
      </c>
      <c r="F8" s="3">
        <v>46056.447916666664</v>
      </c>
      <c r="G8" s="2">
        <v>0.75</v>
      </c>
      <c r="H8" s="2">
        <v>0.75</v>
      </c>
      <c r="I8" s="2" t="s">
        <v>20</v>
      </c>
      <c r="J8" s="2" t="s">
        <v>21</v>
      </c>
      <c r="K8" s="2" t="s">
        <v>22</v>
      </c>
      <c r="L8" s="2" t="s">
        <v>23</v>
      </c>
      <c r="M8" s="2">
        <v>0</v>
      </c>
      <c r="N8" s="2" t="s">
        <v>22</v>
      </c>
      <c r="O8" s="2" t="s">
        <v>23</v>
      </c>
      <c r="P8" s="2" t="s">
        <v>24</v>
      </c>
      <c r="Q8" s="2" t="str">
        <f t="shared" si="0"/>
        <v>On Time</v>
      </c>
    </row>
    <row r="9" spans="1:17" ht="28.8" x14ac:dyDescent="0.3">
      <c r="A9" s="2" t="s">
        <v>17</v>
      </c>
      <c r="B9" s="2" t="s">
        <v>18</v>
      </c>
      <c r="C9" s="2" t="s">
        <v>36</v>
      </c>
      <c r="D9" s="2">
        <v>8</v>
      </c>
      <c r="E9" s="3">
        <v>46056.479166666664</v>
      </c>
      <c r="F9" s="3">
        <v>46056.510416666664</v>
      </c>
      <c r="G9" s="2">
        <v>0.75</v>
      </c>
      <c r="H9" s="2">
        <v>0.75</v>
      </c>
      <c r="I9" s="2" t="s">
        <v>20</v>
      </c>
      <c r="J9" s="2" t="s">
        <v>21</v>
      </c>
      <c r="K9" s="2" t="s">
        <v>22</v>
      </c>
      <c r="L9" s="2" t="s">
        <v>23</v>
      </c>
      <c r="M9" s="2">
        <v>0</v>
      </c>
      <c r="N9" s="2" t="s">
        <v>22</v>
      </c>
      <c r="O9" s="2" t="s">
        <v>23</v>
      </c>
      <c r="P9" s="2" t="s">
        <v>24</v>
      </c>
      <c r="Q9" s="2" t="str">
        <f t="shared" si="0"/>
        <v>On Time</v>
      </c>
    </row>
    <row r="10" spans="1:17" x14ac:dyDescent="0.3">
      <c r="Q10" s="2"/>
    </row>
    <row r="11" spans="1:17" ht="28.8" x14ac:dyDescent="0.3">
      <c r="A11" s="2" t="s">
        <v>37</v>
      </c>
      <c r="B11" s="2" t="s">
        <v>39</v>
      </c>
      <c r="C11" s="2" t="s">
        <v>19</v>
      </c>
      <c r="D11" s="2">
        <v>1</v>
      </c>
      <c r="E11" s="3">
        <v>46058.333333333336</v>
      </c>
      <c r="F11" s="5">
        <v>0.35416666666666669</v>
      </c>
      <c r="G11" s="2">
        <v>0.5</v>
      </c>
      <c r="H11" s="2">
        <v>0.2</v>
      </c>
      <c r="I11" s="2" t="s">
        <v>20</v>
      </c>
      <c r="J11" s="2" t="s">
        <v>21</v>
      </c>
      <c r="K11" s="2" t="s">
        <v>22</v>
      </c>
      <c r="L11" s="2" t="s">
        <v>23</v>
      </c>
      <c r="M11" s="2">
        <v>0</v>
      </c>
      <c r="N11" s="2" t="s">
        <v>22</v>
      </c>
      <c r="O11" s="2" t="s">
        <v>23</v>
      </c>
      <c r="P11" s="2" t="s">
        <v>24</v>
      </c>
      <c r="Q11" s="2" t="str">
        <f t="shared" ref="Q11:Q18" si="1">IF(O11="Documentation", "Delayed", "On Time")</f>
        <v>On Time</v>
      </c>
    </row>
    <row r="12" spans="1:17" ht="57.6" x14ac:dyDescent="0.3">
      <c r="A12" s="2" t="s">
        <v>37</v>
      </c>
      <c r="B12" s="2" t="s">
        <v>39</v>
      </c>
      <c r="C12" s="2" t="s">
        <v>25</v>
      </c>
      <c r="D12" s="2">
        <v>2</v>
      </c>
      <c r="E12" s="5">
        <v>0.36805555555555558</v>
      </c>
      <c r="F12" s="5">
        <v>0.43055555555555558</v>
      </c>
      <c r="G12" s="2">
        <v>1.5</v>
      </c>
      <c r="H12" s="2">
        <v>0.3</v>
      </c>
      <c r="I12" s="2" t="s">
        <v>20</v>
      </c>
      <c r="J12" s="2" t="s">
        <v>21</v>
      </c>
      <c r="K12" s="2" t="s">
        <v>22</v>
      </c>
      <c r="L12" s="2" t="s">
        <v>23</v>
      </c>
      <c r="M12" s="2">
        <v>0</v>
      </c>
      <c r="N12" s="2" t="s">
        <v>22</v>
      </c>
      <c r="O12" s="2" t="s">
        <v>23</v>
      </c>
      <c r="P12" s="2" t="s">
        <v>24</v>
      </c>
      <c r="Q12" s="2" t="str">
        <f t="shared" si="1"/>
        <v>On Time</v>
      </c>
    </row>
    <row r="13" spans="1:17" ht="28.8" x14ac:dyDescent="0.3">
      <c r="A13" s="2" t="s">
        <v>37</v>
      </c>
      <c r="B13" s="2" t="s">
        <v>39</v>
      </c>
      <c r="C13" s="2" t="s">
        <v>26</v>
      </c>
      <c r="D13" s="2">
        <v>3</v>
      </c>
      <c r="E13" s="5">
        <v>0.44791666666666669</v>
      </c>
      <c r="F13" s="5">
        <v>0.76041666666666663</v>
      </c>
      <c r="G13" s="2">
        <v>7.5</v>
      </c>
      <c r="H13" s="2">
        <v>0.4</v>
      </c>
      <c r="I13" s="2" t="s">
        <v>20</v>
      </c>
      <c r="J13" s="2" t="s">
        <v>27</v>
      </c>
      <c r="K13" s="2" t="s">
        <v>22</v>
      </c>
      <c r="L13" s="2" t="s">
        <v>23</v>
      </c>
      <c r="M13" s="2">
        <v>0</v>
      </c>
      <c r="N13" s="2" t="s">
        <v>22</v>
      </c>
      <c r="O13" s="2" t="s">
        <v>23</v>
      </c>
      <c r="P13" s="2" t="s">
        <v>24</v>
      </c>
      <c r="Q13" s="2" t="str">
        <f t="shared" si="1"/>
        <v>On Time</v>
      </c>
    </row>
    <row r="14" spans="1:17" ht="28.8" x14ac:dyDescent="0.3">
      <c r="A14" s="2" t="s">
        <v>37</v>
      </c>
      <c r="B14" s="2" t="s">
        <v>39</v>
      </c>
      <c r="C14" s="2" t="s">
        <v>28</v>
      </c>
      <c r="D14" s="2">
        <v>4</v>
      </c>
      <c r="E14" s="5">
        <v>0.79166666666666663</v>
      </c>
      <c r="F14" s="5">
        <v>0.84375</v>
      </c>
      <c r="G14" s="2">
        <v>1.25</v>
      </c>
      <c r="H14" s="2">
        <v>0.45</v>
      </c>
      <c r="I14" s="2" t="s">
        <v>29</v>
      </c>
      <c r="J14" s="2" t="s">
        <v>21</v>
      </c>
      <c r="K14" s="2" t="s">
        <v>22</v>
      </c>
      <c r="L14" s="2" t="s">
        <v>23</v>
      </c>
      <c r="M14" s="2">
        <v>0</v>
      </c>
      <c r="N14" s="2" t="s">
        <v>22</v>
      </c>
      <c r="O14" s="2" t="s">
        <v>23</v>
      </c>
      <c r="P14" s="2" t="s">
        <v>24</v>
      </c>
      <c r="Q14" s="2" t="str">
        <f t="shared" si="1"/>
        <v>On Time</v>
      </c>
    </row>
    <row r="15" spans="1:17" ht="28.8" x14ac:dyDescent="0.3">
      <c r="A15" s="2" t="s">
        <v>37</v>
      </c>
      <c r="B15" s="2" t="s">
        <v>39</v>
      </c>
      <c r="C15" s="2" t="s">
        <v>30</v>
      </c>
      <c r="D15" s="2">
        <v>5</v>
      </c>
      <c r="E15" s="3">
        <v>46059.375</v>
      </c>
      <c r="F15" s="5">
        <v>0.44791666666666669</v>
      </c>
      <c r="G15" s="2">
        <v>1.75</v>
      </c>
      <c r="H15" s="2">
        <v>0.75</v>
      </c>
      <c r="I15" s="2" t="s">
        <v>20</v>
      </c>
      <c r="J15" s="2" t="s">
        <v>21</v>
      </c>
      <c r="K15" s="2" t="s">
        <v>22</v>
      </c>
      <c r="L15" s="2" t="s">
        <v>23</v>
      </c>
      <c r="M15" s="2">
        <v>0</v>
      </c>
      <c r="N15" s="2" t="s">
        <v>22</v>
      </c>
      <c r="O15" s="2" t="s">
        <v>23</v>
      </c>
      <c r="P15" s="2" t="s">
        <v>24</v>
      </c>
      <c r="Q15" s="2" t="str">
        <f t="shared" si="1"/>
        <v>On Time</v>
      </c>
    </row>
    <row r="16" spans="1:17" ht="28.8" x14ac:dyDescent="0.3">
      <c r="A16" s="2" t="s">
        <v>37</v>
      </c>
      <c r="B16" s="2" t="s">
        <v>39</v>
      </c>
      <c r="C16" s="4" t="s">
        <v>33</v>
      </c>
      <c r="D16" s="4">
        <v>6</v>
      </c>
      <c r="E16" s="5">
        <v>0.51041666666666663</v>
      </c>
      <c r="F16" s="5">
        <v>0.67708333333333337</v>
      </c>
      <c r="G16" s="4">
        <v>4</v>
      </c>
      <c r="H16" s="4">
        <v>1.5</v>
      </c>
      <c r="I16" s="2" t="s">
        <v>20</v>
      </c>
      <c r="J16" s="2" t="s">
        <v>27</v>
      </c>
      <c r="K16" s="2" t="s">
        <v>22</v>
      </c>
      <c r="L16" s="2" t="s">
        <v>23</v>
      </c>
      <c r="M16" s="2">
        <v>0</v>
      </c>
      <c r="N16" s="2" t="s">
        <v>22</v>
      </c>
      <c r="O16" s="2" t="s">
        <v>23</v>
      </c>
      <c r="P16" s="2" t="s">
        <v>24</v>
      </c>
      <c r="Q16" s="2" t="str">
        <f t="shared" si="1"/>
        <v>On Time</v>
      </c>
    </row>
    <row r="17" spans="1:17" ht="28.8" x14ac:dyDescent="0.3">
      <c r="A17" s="2" t="s">
        <v>37</v>
      </c>
      <c r="B17" s="2" t="s">
        <v>39</v>
      </c>
      <c r="C17" s="2" t="s">
        <v>35</v>
      </c>
      <c r="D17" s="2">
        <v>7</v>
      </c>
      <c r="E17" s="5">
        <v>0.69791666666666663</v>
      </c>
      <c r="F17" s="5">
        <v>0.72916666666666663</v>
      </c>
      <c r="G17" s="2">
        <v>0.75</v>
      </c>
      <c r="H17" s="2">
        <v>0.5</v>
      </c>
      <c r="I17" s="2" t="s">
        <v>20</v>
      </c>
      <c r="J17" s="2" t="s">
        <v>21</v>
      </c>
      <c r="K17" s="2" t="s">
        <v>22</v>
      </c>
      <c r="L17" s="2" t="s">
        <v>23</v>
      </c>
      <c r="M17" s="2">
        <v>0</v>
      </c>
      <c r="N17" s="2" t="s">
        <v>22</v>
      </c>
      <c r="O17" s="2" t="s">
        <v>23</v>
      </c>
      <c r="P17" s="2" t="s">
        <v>24</v>
      </c>
      <c r="Q17" s="2" t="str">
        <f t="shared" si="1"/>
        <v>On Time</v>
      </c>
    </row>
    <row r="18" spans="1:17" ht="28.8" x14ac:dyDescent="0.3">
      <c r="A18" s="2" t="s">
        <v>37</v>
      </c>
      <c r="B18" s="2" t="s">
        <v>39</v>
      </c>
      <c r="C18" s="2" t="s">
        <v>36</v>
      </c>
      <c r="D18" s="2">
        <v>8</v>
      </c>
      <c r="E18" s="5">
        <v>0.75</v>
      </c>
      <c r="F18" s="5">
        <v>0.78125</v>
      </c>
      <c r="G18" s="2">
        <v>0.75</v>
      </c>
      <c r="H18" s="2">
        <v>0.5</v>
      </c>
      <c r="I18" s="2" t="s">
        <v>20</v>
      </c>
      <c r="J18" s="2" t="s">
        <v>21</v>
      </c>
      <c r="K18" s="2" t="s">
        <v>22</v>
      </c>
      <c r="L18" s="2" t="s">
        <v>23</v>
      </c>
      <c r="M18" s="2">
        <v>0</v>
      </c>
      <c r="N18" s="2" t="s">
        <v>22</v>
      </c>
      <c r="O18" s="2" t="s">
        <v>23</v>
      </c>
      <c r="P18" s="2" t="s">
        <v>24</v>
      </c>
      <c r="Q18" s="2" t="str">
        <f t="shared" si="1"/>
        <v>On Time</v>
      </c>
    </row>
    <row r="19" spans="1:17" x14ac:dyDescent="0.3">
      <c r="Q19" s="2" t="str">
        <f t="shared" ref="Q19" si="2">IF(O19="Documentation", "Delayed", "On Time")</f>
        <v>On Time</v>
      </c>
    </row>
    <row r="20" spans="1:17" ht="28.8" x14ac:dyDescent="0.3">
      <c r="A20" s="2" t="s">
        <v>38</v>
      </c>
      <c r="B20" s="2" t="s">
        <v>42</v>
      </c>
      <c r="C20" s="2" t="s">
        <v>19</v>
      </c>
      <c r="D20" s="2">
        <v>1</v>
      </c>
      <c r="E20" s="3">
        <v>46061.333333333336</v>
      </c>
      <c r="F20" s="5">
        <v>0.3611111111111111</v>
      </c>
      <c r="G20" s="2">
        <v>0.67</v>
      </c>
      <c r="H20" s="2">
        <v>0.3</v>
      </c>
      <c r="I20" s="2" t="s">
        <v>20</v>
      </c>
      <c r="J20" s="2" t="s">
        <v>21</v>
      </c>
      <c r="K20" s="2" t="s">
        <v>22</v>
      </c>
      <c r="L20" s="2" t="s">
        <v>23</v>
      </c>
      <c r="M20" s="2">
        <v>0</v>
      </c>
      <c r="N20" s="2" t="s">
        <v>22</v>
      </c>
      <c r="O20" s="2" t="s">
        <v>23</v>
      </c>
      <c r="P20" s="2" t="s">
        <v>24</v>
      </c>
      <c r="Q20" s="2" t="str">
        <f t="shared" ref="Q20:Q27" si="3">IF(O20="Documentation", "Delayed", "On Time")</f>
        <v>On Time</v>
      </c>
    </row>
    <row r="21" spans="1:17" ht="57.6" x14ac:dyDescent="0.3">
      <c r="A21" s="2" t="s">
        <v>38</v>
      </c>
      <c r="B21" s="2" t="s">
        <v>42</v>
      </c>
      <c r="C21" s="2" t="s">
        <v>25</v>
      </c>
      <c r="D21" s="2">
        <v>2</v>
      </c>
      <c r="E21" s="5">
        <v>0.38194444444444442</v>
      </c>
      <c r="F21" s="5">
        <v>0.44444444444444442</v>
      </c>
      <c r="G21" s="2">
        <v>1.5</v>
      </c>
      <c r="H21" s="2">
        <v>0.5</v>
      </c>
      <c r="I21" s="2" t="s">
        <v>20</v>
      </c>
      <c r="J21" s="2" t="s">
        <v>27</v>
      </c>
      <c r="K21" s="2" t="s">
        <v>22</v>
      </c>
      <c r="L21" s="2" t="s">
        <v>23</v>
      </c>
      <c r="M21" s="2">
        <v>0</v>
      </c>
      <c r="N21" s="2" t="s">
        <v>22</v>
      </c>
      <c r="O21" s="2" t="s">
        <v>23</v>
      </c>
      <c r="P21" s="2" t="s">
        <v>24</v>
      </c>
      <c r="Q21" s="2" t="str">
        <f t="shared" si="3"/>
        <v>On Time</v>
      </c>
    </row>
    <row r="22" spans="1:17" ht="28.8" x14ac:dyDescent="0.3">
      <c r="A22" s="2" t="s">
        <v>38</v>
      </c>
      <c r="B22" s="2" t="s">
        <v>42</v>
      </c>
      <c r="C22" s="2" t="s">
        <v>26</v>
      </c>
      <c r="D22" s="2">
        <v>3</v>
      </c>
      <c r="E22" s="5">
        <v>0.46527777777777773</v>
      </c>
      <c r="F22" s="5">
        <v>0.84027777777777779</v>
      </c>
      <c r="G22" s="2">
        <v>9</v>
      </c>
      <c r="H22" s="2">
        <v>0.5</v>
      </c>
      <c r="I22" s="2" t="s">
        <v>20</v>
      </c>
      <c r="J22" s="2" t="s">
        <v>27</v>
      </c>
      <c r="K22" s="2" t="s">
        <v>22</v>
      </c>
      <c r="L22" s="2" t="s">
        <v>23</v>
      </c>
      <c r="M22" s="2">
        <v>0</v>
      </c>
      <c r="N22" s="2" t="s">
        <v>22</v>
      </c>
      <c r="O22" s="2" t="s">
        <v>23</v>
      </c>
      <c r="P22" s="2" t="s">
        <v>24</v>
      </c>
      <c r="Q22" s="2" t="str">
        <f t="shared" si="3"/>
        <v>On Time</v>
      </c>
    </row>
    <row r="23" spans="1:17" ht="28.8" x14ac:dyDescent="0.3">
      <c r="A23" s="2" t="s">
        <v>38</v>
      </c>
      <c r="B23" s="2" t="s">
        <v>42</v>
      </c>
      <c r="C23" s="2" t="s">
        <v>28</v>
      </c>
      <c r="D23" s="2">
        <v>4</v>
      </c>
      <c r="E23" s="5">
        <v>0.875</v>
      </c>
      <c r="F23" s="5">
        <v>0.9375</v>
      </c>
      <c r="G23" s="2">
        <v>1.5</v>
      </c>
      <c r="H23" s="2">
        <v>0.5</v>
      </c>
      <c r="I23" s="2" t="s">
        <v>29</v>
      </c>
      <c r="J23" s="2" t="s">
        <v>21</v>
      </c>
      <c r="K23" s="2" t="s">
        <v>22</v>
      </c>
      <c r="L23" s="2" t="s">
        <v>23</v>
      </c>
      <c r="M23" s="2">
        <v>0</v>
      </c>
      <c r="N23" s="2" t="s">
        <v>22</v>
      </c>
      <c r="O23" s="2" t="s">
        <v>23</v>
      </c>
      <c r="P23" s="2" t="s">
        <v>24</v>
      </c>
      <c r="Q23" s="2" t="str">
        <f t="shared" si="3"/>
        <v>On Time</v>
      </c>
    </row>
    <row r="24" spans="1:17" ht="28.8" x14ac:dyDescent="0.3">
      <c r="A24" s="2" t="s">
        <v>38</v>
      </c>
      <c r="B24" s="2" t="s">
        <v>42</v>
      </c>
      <c r="C24" s="2" t="s">
        <v>30</v>
      </c>
      <c r="D24" s="2">
        <v>5</v>
      </c>
      <c r="E24" s="3">
        <v>46062.375</v>
      </c>
      <c r="F24" s="5">
        <v>0.46875</v>
      </c>
      <c r="G24" s="2">
        <v>2.25</v>
      </c>
      <c r="H24" s="2">
        <v>1</v>
      </c>
      <c r="I24" s="2" t="s">
        <v>20</v>
      </c>
      <c r="J24" s="2" t="s">
        <v>27</v>
      </c>
      <c r="K24" s="2" t="s">
        <v>22</v>
      </c>
      <c r="L24" s="2" t="s">
        <v>23</v>
      </c>
      <c r="M24" s="2">
        <v>0</v>
      </c>
      <c r="N24" s="2" t="s">
        <v>22</v>
      </c>
      <c r="O24" s="2" t="s">
        <v>23</v>
      </c>
      <c r="P24" s="2" t="s">
        <v>24</v>
      </c>
      <c r="Q24" s="2" t="str">
        <f t="shared" si="3"/>
        <v>On Time</v>
      </c>
    </row>
    <row r="25" spans="1:17" ht="28.8" x14ac:dyDescent="0.3">
      <c r="A25" s="2" t="s">
        <v>38</v>
      </c>
      <c r="B25" s="2" t="s">
        <v>42</v>
      </c>
      <c r="C25" s="4" t="s">
        <v>33</v>
      </c>
      <c r="D25" s="4">
        <v>6</v>
      </c>
      <c r="E25" s="5">
        <v>0.58333333333333337</v>
      </c>
      <c r="F25" s="5">
        <v>0.79166666666666663</v>
      </c>
      <c r="G25" s="4">
        <v>5</v>
      </c>
      <c r="H25" s="4">
        <v>2.75</v>
      </c>
      <c r="I25" s="2" t="s">
        <v>20</v>
      </c>
      <c r="J25" s="2" t="s">
        <v>27</v>
      </c>
      <c r="K25" s="2" t="s">
        <v>22</v>
      </c>
      <c r="L25" s="2" t="s">
        <v>23</v>
      </c>
      <c r="M25" s="2">
        <v>0</v>
      </c>
      <c r="N25" s="2" t="s">
        <v>22</v>
      </c>
      <c r="O25" s="2" t="s">
        <v>23</v>
      </c>
      <c r="P25" s="2" t="s">
        <v>24</v>
      </c>
      <c r="Q25" s="2" t="str">
        <f t="shared" si="3"/>
        <v>On Time</v>
      </c>
    </row>
    <row r="26" spans="1:17" ht="28.8" x14ac:dyDescent="0.3">
      <c r="A26" s="2" t="s">
        <v>38</v>
      </c>
      <c r="B26" s="2" t="s">
        <v>42</v>
      </c>
      <c r="C26" s="2" t="s">
        <v>35</v>
      </c>
      <c r="D26" s="2">
        <v>7</v>
      </c>
      <c r="E26" s="3">
        <v>46063.416666666664</v>
      </c>
      <c r="F26" s="5">
        <v>0.44791666666666669</v>
      </c>
      <c r="G26" s="2">
        <v>0.75</v>
      </c>
      <c r="H26" s="2">
        <v>0.75</v>
      </c>
      <c r="I26" s="2" t="s">
        <v>20</v>
      </c>
      <c r="J26" s="2" t="s">
        <v>21</v>
      </c>
      <c r="K26" s="2" t="s">
        <v>22</v>
      </c>
      <c r="L26" s="2" t="s">
        <v>23</v>
      </c>
      <c r="M26" s="2">
        <v>0</v>
      </c>
      <c r="N26" s="2" t="s">
        <v>22</v>
      </c>
      <c r="O26" s="2" t="s">
        <v>23</v>
      </c>
      <c r="P26" s="2" t="s">
        <v>24</v>
      </c>
      <c r="Q26" s="2" t="str">
        <f t="shared" si="3"/>
        <v>On Time</v>
      </c>
    </row>
    <row r="27" spans="1:17" ht="28.8" x14ac:dyDescent="0.3">
      <c r="A27" s="2" t="s">
        <v>38</v>
      </c>
      <c r="B27" s="2" t="s">
        <v>42</v>
      </c>
      <c r="C27" s="2" t="s">
        <v>36</v>
      </c>
      <c r="D27" s="2">
        <v>8</v>
      </c>
      <c r="E27" s="5">
        <v>0.47916666666666669</v>
      </c>
      <c r="F27" s="5">
        <v>0.51041666666666663</v>
      </c>
      <c r="G27" s="2">
        <v>0.75</v>
      </c>
      <c r="H27" s="2">
        <v>0.75</v>
      </c>
      <c r="I27" s="2" t="s">
        <v>20</v>
      </c>
      <c r="J27" s="2" t="s">
        <v>21</v>
      </c>
      <c r="K27" s="2" t="s">
        <v>22</v>
      </c>
      <c r="L27" s="2" t="s">
        <v>23</v>
      </c>
      <c r="M27" s="2">
        <v>0</v>
      </c>
      <c r="N27" s="2" t="s">
        <v>22</v>
      </c>
      <c r="O27" s="2" t="s">
        <v>23</v>
      </c>
      <c r="P27" s="2" t="s">
        <v>24</v>
      </c>
      <c r="Q27" s="2" t="str">
        <f t="shared" si="3"/>
        <v>On Time</v>
      </c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"/>
    </row>
    <row r="29" spans="1:17" ht="28.8" x14ac:dyDescent="0.3">
      <c r="A29" s="2" t="s">
        <v>40</v>
      </c>
      <c r="B29" s="2" t="s">
        <v>18</v>
      </c>
      <c r="C29" s="2" t="s">
        <v>19</v>
      </c>
      <c r="D29" s="2">
        <v>1</v>
      </c>
      <c r="E29" s="3">
        <v>46065.333333333336</v>
      </c>
      <c r="F29" s="3">
        <v>46065.368055555555</v>
      </c>
      <c r="G29" s="2">
        <v>0.83</v>
      </c>
      <c r="H29" s="2">
        <v>0.25</v>
      </c>
      <c r="I29" s="2" t="s">
        <v>20</v>
      </c>
      <c r="J29" s="2" t="s">
        <v>21</v>
      </c>
      <c r="K29" s="2" t="s">
        <v>22</v>
      </c>
      <c r="L29" s="2" t="s">
        <v>23</v>
      </c>
      <c r="M29" s="2">
        <v>0</v>
      </c>
      <c r="N29" s="2" t="s">
        <v>22</v>
      </c>
      <c r="O29" s="2" t="s">
        <v>23</v>
      </c>
      <c r="P29" s="2" t="s">
        <v>24</v>
      </c>
      <c r="Q29" s="2" t="str">
        <f t="shared" ref="Q29:Q54" si="4">IF(O29="Documentation", "Delayed", "On Time")</f>
        <v>On Time</v>
      </c>
    </row>
    <row r="30" spans="1:17" ht="57.6" x14ac:dyDescent="0.3">
      <c r="A30" s="2" t="s">
        <v>40</v>
      </c>
      <c r="B30" s="2" t="s">
        <v>18</v>
      </c>
      <c r="C30" s="2" t="s">
        <v>25</v>
      </c>
      <c r="D30" s="2">
        <v>2</v>
      </c>
      <c r="E30" s="3">
        <v>46065.385416666664</v>
      </c>
      <c r="F30" s="3">
        <v>46065.447916666664</v>
      </c>
      <c r="G30" s="2">
        <v>1.5</v>
      </c>
      <c r="H30" s="2">
        <v>0.3</v>
      </c>
      <c r="I30" s="2" t="s">
        <v>20</v>
      </c>
      <c r="J30" s="2" t="s">
        <v>27</v>
      </c>
      <c r="K30" s="2" t="s">
        <v>22</v>
      </c>
      <c r="L30" s="2" t="s">
        <v>23</v>
      </c>
      <c r="M30" s="2">
        <v>0</v>
      </c>
      <c r="N30" s="2" t="s">
        <v>22</v>
      </c>
      <c r="O30" s="2" t="s">
        <v>23</v>
      </c>
      <c r="P30" s="2" t="s">
        <v>24</v>
      </c>
      <c r="Q30" s="2" t="str">
        <f t="shared" si="4"/>
        <v>On Time</v>
      </c>
    </row>
    <row r="31" spans="1:17" ht="28.8" x14ac:dyDescent="0.3">
      <c r="A31" s="2" t="s">
        <v>40</v>
      </c>
      <c r="B31" s="2" t="s">
        <v>18</v>
      </c>
      <c r="C31" s="2" t="s">
        <v>26</v>
      </c>
      <c r="D31" s="2">
        <v>3</v>
      </c>
      <c r="E31" s="3">
        <v>46065.46875</v>
      </c>
      <c r="F31" s="3">
        <v>46065.802083333336</v>
      </c>
      <c r="G31" s="2">
        <v>8</v>
      </c>
      <c r="H31" s="2">
        <v>0.75</v>
      </c>
      <c r="I31" s="2" t="s">
        <v>20</v>
      </c>
      <c r="J31" s="2" t="s">
        <v>27</v>
      </c>
      <c r="K31" s="2" t="s">
        <v>22</v>
      </c>
      <c r="L31" s="2" t="s">
        <v>23</v>
      </c>
      <c r="M31" s="2">
        <v>0</v>
      </c>
      <c r="N31" s="2" t="s">
        <v>22</v>
      </c>
      <c r="O31" s="2" t="s">
        <v>23</v>
      </c>
      <c r="P31" s="2" t="s">
        <v>24</v>
      </c>
      <c r="Q31" s="2" t="str">
        <f t="shared" si="4"/>
        <v>On Time</v>
      </c>
    </row>
    <row r="32" spans="1:17" ht="28.8" x14ac:dyDescent="0.3">
      <c r="A32" s="2" t="s">
        <v>40</v>
      </c>
      <c r="B32" s="2" t="s">
        <v>18</v>
      </c>
      <c r="C32" s="2" t="s">
        <v>28</v>
      </c>
      <c r="D32" s="2">
        <v>4</v>
      </c>
      <c r="E32" s="3">
        <v>46065.833333333336</v>
      </c>
      <c r="F32" s="3">
        <v>46065.885416666664</v>
      </c>
      <c r="G32" s="2">
        <v>1.25</v>
      </c>
      <c r="H32" s="2">
        <v>0.75</v>
      </c>
      <c r="I32" s="2" t="s">
        <v>29</v>
      </c>
      <c r="J32" s="2" t="s">
        <v>21</v>
      </c>
      <c r="K32" s="2" t="s">
        <v>22</v>
      </c>
      <c r="L32" s="2" t="s">
        <v>23</v>
      </c>
      <c r="M32" s="2">
        <v>0</v>
      </c>
      <c r="N32" s="2" t="s">
        <v>22</v>
      </c>
      <c r="O32" s="2" t="s">
        <v>23</v>
      </c>
      <c r="P32" s="2" t="s">
        <v>24</v>
      </c>
      <c r="Q32" s="2" t="str">
        <f t="shared" si="4"/>
        <v>On Time</v>
      </c>
    </row>
    <row r="33" spans="1:17" ht="28.8" x14ac:dyDescent="0.3">
      <c r="A33" s="2" t="s">
        <v>40</v>
      </c>
      <c r="B33" s="2" t="s">
        <v>18</v>
      </c>
      <c r="C33" s="2" t="s">
        <v>30</v>
      </c>
      <c r="D33" s="2">
        <v>5</v>
      </c>
      <c r="E33" s="3">
        <v>46066.375</v>
      </c>
      <c r="F33" s="3">
        <v>46066.458333333336</v>
      </c>
      <c r="G33" s="2">
        <v>2</v>
      </c>
      <c r="H33" s="2">
        <v>1.25</v>
      </c>
      <c r="I33" s="2" t="s">
        <v>20</v>
      </c>
      <c r="J33" s="2" t="s">
        <v>27</v>
      </c>
      <c r="K33" s="2" t="s">
        <v>22</v>
      </c>
      <c r="L33" s="2" t="s">
        <v>23</v>
      </c>
      <c r="M33" s="2">
        <v>0</v>
      </c>
      <c r="N33" s="2" t="s">
        <v>22</v>
      </c>
      <c r="O33" s="2" t="s">
        <v>23</v>
      </c>
      <c r="P33" s="2" t="s">
        <v>24</v>
      </c>
      <c r="Q33" s="2" t="str">
        <f t="shared" si="4"/>
        <v>On Time</v>
      </c>
    </row>
    <row r="34" spans="1:17" ht="28.8" x14ac:dyDescent="0.3">
      <c r="A34" s="2" t="s">
        <v>40</v>
      </c>
      <c r="B34" s="2" t="s">
        <v>18</v>
      </c>
      <c r="C34" s="2" t="s">
        <v>33</v>
      </c>
      <c r="D34" s="2">
        <v>6</v>
      </c>
      <c r="E34" s="3">
        <v>46066.541666666664</v>
      </c>
      <c r="F34" s="3">
        <v>46066.760416666664</v>
      </c>
      <c r="G34" s="4">
        <v>5.25</v>
      </c>
      <c r="H34" s="2">
        <v>2</v>
      </c>
      <c r="I34" s="2" t="s">
        <v>20</v>
      </c>
      <c r="J34" s="2" t="s">
        <v>27</v>
      </c>
      <c r="K34" s="2" t="s">
        <v>31</v>
      </c>
      <c r="L34" s="2" t="s">
        <v>44</v>
      </c>
      <c r="M34" s="2">
        <v>1.5</v>
      </c>
      <c r="N34" s="2" t="s">
        <v>31</v>
      </c>
      <c r="O34" s="2" t="s">
        <v>30</v>
      </c>
      <c r="P34" s="2" t="s">
        <v>24</v>
      </c>
      <c r="Q34" s="2" t="str">
        <f t="shared" si="4"/>
        <v>Delayed</v>
      </c>
    </row>
    <row r="35" spans="1:17" ht="28.8" x14ac:dyDescent="0.3">
      <c r="A35" s="2" t="s">
        <v>40</v>
      </c>
      <c r="B35" s="2" t="s">
        <v>18</v>
      </c>
      <c r="C35" s="2" t="s">
        <v>35</v>
      </c>
      <c r="D35" s="2">
        <v>7</v>
      </c>
      <c r="E35" s="3">
        <v>46067.416666666664</v>
      </c>
      <c r="F35" s="3">
        <v>46067.447916666664</v>
      </c>
      <c r="G35" s="2">
        <v>0.75</v>
      </c>
      <c r="H35" s="2">
        <v>0.75</v>
      </c>
      <c r="I35" s="2" t="s">
        <v>20</v>
      </c>
      <c r="J35" s="2" t="s">
        <v>21</v>
      </c>
      <c r="K35" s="2" t="s">
        <v>22</v>
      </c>
      <c r="L35" s="2" t="s">
        <v>23</v>
      </c>
      <c r="M35" s="2">
        <v>0</v>
      </c>
      <c r="N35" s="2" t="s">
        <v>22</v>
      </c>
      <c r="O35" s="2" t="s">
        <v>23</v>
      </c>
      <c r="P35" s="2" t="s">
        <v>24</v>
      </c>
      <c r="Q35" s="2" t="str">
        <f t="shared" si="4"/>
        <v>On Time</v>
      </c>
    </row>
    <row r="36" spans="1:17" ht="28.8" x14ac:dyDescent="0.3">
      <c r="A36" s="2" t="s">
        <v>40</v>
      </c>
      <c r="B36" s="2" t="s">
        <v>18</v>
      </c>
      <c r="C36" s="2" t="s">
        <v>36</v>
      </c>
      <c r="D36" s="2">
        <v>8</v>
      </c>
      <c r="E36" s="3">
        <v>46067.479166666664</v>
      </c>
      <c r="F36" s="3">
        <v>46067.510416666664</v>
      </c>
      <c r="G36" s="2">
        <v>0.75</v>
      </c>
      <c r="H36" s="2">
        <v>0.75</v>
      </c>
      <c r="I36" s="2" t="s">
        <v>20</v>
      </c>
      <c r="J36" s="2" t="s">
        <v>21</v>
      </c>
      <c r="K36" s="2" t="s">
        <v>22</v>
      </c>
      <c r="L36" s="2" t="s">
        <v>23</v>
      </c>
      <c r="M36" s="2">
        <v>0</v>
      </c>
      <c r="N36" s="2" t="s">
        <v>22</v>
      </c>
      <c r="O36" s="2" t="s">
        <v>23</v>
      </c>
      <c r="P36" s="2" t="s">
        <v>24</v>
      </c>
      <c r="Q36" s="2" t="str">
        <f t="shared" si="4"/>
        <v>On Time</v>
      </c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28.8" x14ac:dyDescent="0.3">
      <c r="A38" s="2" t="s">
        <v>41</v>
      </c>
      <c r="B38" s="2" t="s">
        <v>39</v>
      </c>
      <c r="C38" s="2" t="s">
        <v>19</v>
      </c>
      <c r="D38" s="2">
        <v>1</v>
      </c>
      <c r="E38" s="3">
        <v>46068.333333333336</v>
      </c>
      <c r="F38" s="5">
        <v>0.3611111111111111</v>
      </c>
      <c r="G38" s="2">
        <v>0.67</v>
      </c>
      <c r="H38" s="2">
        <v>0.25</v>
      </c>
      <c r="I38" s="2" t="s">
        <v>20</v>
      </c>
      <c r="J38" s="2" t="s">
        <v>21</v>
      </c>
      <c r="K38" s="2" t="s">
        <v>22</v>
      </c>
      <c r="L38" s="2" t="s">
        <v>23</v>
      </c>
      <c r="M38" s="2">
        <v>0</v>
      </c>
      <c r="N38" s="2" t="s">
        <v>22</v>
      </c>
      <c r="O38" s="2" t="s">
        <v>23</v>
      </c>
      <c r="P38" s="2" t="s">
        <v>24</v>
      </c>
      <c r="Q38" s="2" t="str">
        <f t="shared" si="4"/>
        <v>On Time</v>
      </c>
    </row>
    <row r="39" spans="1:17" ht="57.6" x14ac:dyDescent="0.3">
      <c r="A39" s="2" t="s">
        <v>41</v>
      </c>
      <c r="B39" s="2" t="s">
        <v>39</v>
      </c>
      <c r="C39" s="2" t="s">
        <v>25</v>
      </c>
      <c r="D39" s="2">
        <v>2</v>
      </c>
      <c r="E39" s="5">
        <v>0.36805555555555558</v>
      </c>
      <c r="F39" s="5">
        <v>0.43055555555555558</v>
      </c>
      <c r="G39" s="2">
        <v>1.5</v>
      </c>
      <c r="H39" s="2">
        <v>0.3</v>
      </c>
      <c r="I39" s="2" t="s">
        <v>20</v>
      </c>
      <c r="J39" s="2" t="s">
        <v>21</v>
      </c>
      <c r="K39" s="2" t="s">
        <v>22</v>
      </c>
      <c r="L39" s="2" t="s">
        <v>23</v>
      </c>
      <c r="M39" s="2">
        <v>0</v>
      </c>
      <c r="N39" s="2" t="s">
        <v>22</v>
      </c>
      <c r="O39" s="2" t="s">
        <v>23</v>
      </c>
      <c r="P39" s="2" t="s">
        <v>24</v>
      </c>
      <c r="Q39" s="2" t="str">
        <f t="shared" si="4"/>
        <v>On Time</v>
      </c>
    </row>
    <row r="40" spans="1:17" ht="28.8" x14ac:dyDescent="0.3">
      <c r="A40" s="2" t="s">
        <v>41</v>
      </c>
      <c r="B40" s="2" t="s">
        <v>39</v>
      </c>
      <c r="C40" s="2" t="s">
        <v>26</v>
      </c>
      <c r="D40" s="2">
        <v>3</v>
      </c>
      <c r="E40" s="5">
        <v>0.44791666666666669</v>
      </c>
      <c r="F40" s="5">
        <v>0.76041666666666663</v>
      </c>
      <c r="G40" s="2">
        <v>7.5</v>
      </c>
      <c r="H40" s="2">
        <v>0.4</v>
      </c>
      <c r="I40" s="2" t="s">
        <v>20</v>
      </c>
      <c r="J40" s="2" t="s">
        <v>27</v>
      </c>
      <c r="K40" s="2" t="s">
        <v>22</v>
      </c>
      <c r="L40" s="2" t="s">
        <v>23</v>
      </c>
      <c r="M40" s="2">
        <v>0</v>
      </c>
      <c r="N40" s="2" t="s">
        <v>22</v>
      </c>
      <c r="O40" s="2" t="s">
        <v>23</v>
      </c>
      <c r="P40" s="2" t="s">
        <v>24</v>
      </c>
      <c r="Q40" s="2" t="str">
        <f t="shared" si="4"/>
        <v>On Time</v>
      </c>
    </row>
    <row r="41" spans="1:17" ht="28.8" x14ac:dyDescent="0.3">
      <c r="A41" s="2" t="s">
        <v>41</v>
      </c>
      <c r="B41" s="2" t="s">
        <v>39</v>
      </c>
      <c r="C41" s="2" t="s">
        <v>28</v>
      </c>
      <c r="D41" s="2">
        <v>4</v>
      </c>
      <c r="E41" s="5">
        <v>0.79166666666666663</v>
      </c>
      <c r="F41" s="5">
        <v>0.84375</v>
      </c>
      <c r="G41" s="2">
        <v>1.25</v>
      </c>
      <c r="H41" s="2">
        <v>0.45</v>
      </c>
      <c r="I41" s="2" t="s">
        <v>29</v>
      </c>
      <c r="J41" s="2" t="s">
        <v>21</v>
      </c>
      <c r="K41" s="2" t="s">
        <v>22</v>
      </c>
      <c r="L41" s="2" t="s">
        <v>23</v>
      </c>
      <c r="M41" s="2">
        <v>0</v>
      </c>
      <c r="N41" s="2" t="s">
        <v>22</v>
      </c>
      <c r="O41" s="2" t="s">
        <v>23</v>
      </c>
      <c r="P41" s="2" t="s">
        <v>24</v>
      </c>
      <c r="Q41" s="2" t="str">
        <f t="shared" si="4"/>
        <v>On Time</v>
      </c>
    </row>
    <row r="42" spans="1:17" ht="28.8" x14ac:dyDescent="0.3">
      <c r="A42" s="2" t="s">
        <v>41</v>
      </c>
      <c r="B42" s="2" t="s">
        <v>39</v>
      </c>
      <c r="C42" s="2" t="s">
        <v>30</v>
      </c>
      <c r="D42" s="2">
        <v>5</v>
      </c>
      <c r="E42" s="3">
        <v>46069.375</v>
      </c>
      <c r="F42" s="5">
        <v>0.44791666666666669</v>
      </c>
      <c r="G42" s="2">
        <v>1.75</v>
      </c>
      <c r="H42" s="2">
        <v>0.75</v>
      </c>
      <c r="I42" s="2" t="s">
        <v>20</v>
      </c>
      <c r="J42" s="2" t="s">
        <v>21</v>
      </c>
      <c r="K42" s="2" t="s">
        <v>22</v>
      </c>
      <c r="L42" s="2" t="s">
        <v>23</v>
      </c>
      <c r="M42" s="2">
        <v>0</v>
      </c>
      <c r="N42" s="2" t="s">
        <v>22</v>
      </c>
      <c r="O42" s="2" t="s">
        <v>23</v>
      </c>
      <c r="P42" s="2" t="s">
        <v>24</v>
      </c>
      <c r="Q42" s="2" t="str">
        <f t="shared" si="4"/>
        <v>On Time</v>
      </c>
    </row>
    <row r="43" spans="1:17" ht="28.8" x14ac:dyDescent="0.3">
      <c r="A43" s="2" t="s">
        <v>41</v>
      </c>
      <c r="B43" s="2" t="s">
        <v>39</v>
      </c>
      <c r="C43" s="2" t="s">
        <v>33</v>
      </c>
      <c r="D43" s="2">
        <v>6</v>
      </c>
      <c r="E43" s="5">
        <v>0.51041666666666663</v>
      </c>
      <c r="F43" s="5">
        <v>0.69791666666666663</v>
      </c>
      <c r="G43" s="4">
        <v>4.5</v>
      </c>
      <c r="H43" s="2">
        <v>1.5</v>
      </c>
      <c r="I43" s="2" t="s">
        <v>20</v>
      </c>
      <c r="J43" s="2" t="s">
        <v>27</v>
      </c>
      <c r="K43" s="2" t="s">
        <v>31</v>
      </c>
      <c r="L43" s="2" t="s">
        <v>45</v>
      </c>
      <c r="M43" s="2">
        <v>1.25</v>
      </c>
      <c r="N43" s="2" t="s">
        <v>31</v>
      </c>
      <c r="O43" s="2" t="s">
        <v>30</v>
      </c>
      <c r="P43" s="2" t="s">
        <v>24</v>
      </c>
      <c r="Q43" s="2" t="str">
        <f t="shared" si="4"/>
        <v>Delayed</v>
      </c>
    </row>
    <row r="44" spans="1:17" ht="28.8" x14ac:dyDescent="0.3">
      <c r="A44" s="2" t="s">
        <v>41</v>
      </c>
      <c r="B44" s="2" t="s">
        <v>39</v>
      </c>
      <c r="C44" s="2" t="s">
        <v>35</v>
      </c>
      <c r="D44" s="2">
        <v>7</v>
      </c>
      <c r="E44" s="5">
        <v>0.70833333333333337</v>
      </c>
      <c r="F44" s="5">
        <v>0.73958333333333337</v>
      </c>
      <c r="G44" s="2">
        <v>0.75</v>
      </c>
      <c r="H44" s="2">
        <v>0.5</v>
      </c>
      <c r="I44" s="2" t="s">
        <v>20</v>
      </c>
      <c r="J44" s="2" t="s">
        <v>21</v>
      </c>
      <c r="K44" s="2" t="s">
        <v>22</v>
      </c>
      <c r="L44" s="2" t="s">
        <v>23</v>
      </c>
      <c r="M44" s="2">
        <v>0</v>
      </c>
      <c r="N44" s="2" t="s">
        <v>22</v>
      </c>
      <c r="O44" s="2" t="s">
        <v>23</v>
      </c>
      <c r="P44" s="2" t="s">
        <v>24</v>
      </c>
      <c r="Q44" s="2" t="str">
        <f t="shared" si="4"/>
        <v>On Time</v>
      </c>
    </row>
    <row r="45" spans="1:17" ht="28.8" x14ac:dyDescent="0.3">
      <c r="A45" s="2" t="s">
        <v>41</v>
      </c>
      <c r="B45" s="2" t="s">
        <v>39</v>
      </c>
      <c r="C45" s="2" t="s">
        <v>36</v>
      </c>
      <c r="D45" s="2">
        <v>8</v>
      </c>
      <c r="E45" s="5">
        <v>0.75</v>
      </c>
      <c r="F45" s="5">
        <v>0.78125</v>
      </c>
      <c r="G45" s="2">
        <v>0.75</v>
      </c>
      <c r="H45" s="2">
        <v>0.5</v>
      </c>
      <c r="I45" s="2" t="s">
        <v>20</v>
      </c>
      <c r="J45" s="2" t="s">
        <v>21</v>
      </c>
      <c r="K45" s="2" t="s">
        <v>22</v>
      </c>
      <c r="L45" s="2" t="s">
        <v>23</v>
      </c>
      <c r="M45" s="2">
        <v>0</v>
      </c>
      <c r="N45" s="2" t="s">
        <v>22</v>
      </c>
      <c r="O45" s="2" t="s">
        <v>23</v>
      </c>
      <c r="P45" s="2" t="s">
        <v>24</v>
      </c>
      <c r="Q45" s="2" t="str">
        <f t="shared" si="4"/>
        <v>On Time</v>
      </c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"/>
    </row>
    <row r="47" spans="1:17" ht="28.8" x14ac:dyDescent="0.3">
      <c r="A47" s="2" t="s">
        <v>43</v>
      </c>
      <c r="B47" s="2" t="s">
        <v>42</v>
      </c>
      <c r="C47" s="2" t="s">
        <v>19</v>
      </c>
      <c r="D47" s="2">
        <v>1</v>
      </c>
      <c r="E47" s="3">
        <v>46069.333333333336</v>
      </c>
      <c r="F47" s="3">
        <v>46069.368055555555</v>
      </c>
      <c r="G47" s="2">
        <v>0.83</v>
      </c>
      <c r="H47" s="2">
        <v>0.3</v>
      </c>
      <c r="I47" s="2" t="s">
        <v>20</v>
      </c>
      <c r="J47" s="2" t="s">
        <v>21</v>
      </c>
      <c r="K47" s="2" t="s">
        <v>22</v>
      </c>
      <c r="L47" s="2" t="s">
        <v>23</v>
      </c>
      <c r="M47" s="2">
        <v>0</v>
      </c>
      <c r="N47" s="2" t="s">
        <v>22</v>
      </c>
      <c r="O47" s="2" t="s">
        <v>23</v>
      </c>
      <c r="P47" s="2" t="s">
        <v>24</v>
      </c>
      <c r="Q47" s="2" t="str">
        <f t="shared" si="4"/>
        <v>On Time</v>
      </c>
    </row>
    <row r="48" spans="1:17" ht="57.6" x14ac:dyDescent="0.3">
      <c r="A48" s="2" t="s">
        <v>43</v>
      </c>
      <c r="B48" s="2" t="s">
        <v>42</v>
      </c>
      <c r="C48" s="2" t="s">
        <v>25</v>
      </c>
      <c r="D48" s="2">
        <v>2</v>
      </c>
      <c r="E48" s="3">
        <v>46069.388888888891</v>
      </c>
      <c r="F48" s="3">
        <v>46069.454861111109</v>
      </c>
      <c r="G48" s="2">
        <v>1.58</v>
      </c>
      <c r="H48" s="2">
        <v>0.4</v>
      </c>
      <c r="I48" s="2" t="s">
        <v>20</v>
      </c>
      <c r="J48" s="2" t="s">
        <v>27</v>
      </c>
      <c r="K48" s="2" t="s">
        <v>22</v>
      </c>
      <c r="L48" s="2" t="s">
        <v>23</v>
      </c>
      <c r="M48" s="2">
        <v>0</v>
      </c>
      <c r="N48" s="2" t="s">
        <v>22</v>
      </c>
      <c r="O48" s="2" t="s">
        <v>23</v>
      </c>
      <c r="P48" s="2" t="s">
        <v>24</v>
      </c>
      <c r="Q48" s="2" t="str">
        <f t="shared" si="4"/>
        <v>On Time</v>
      </c>
    </row>
    <row r="49" spans="1:17" ht="28.8" x14ac:dyDescent="0.3">
      <c r="A49" s="2" t="s">
        <v>43</v>
      </c>
      <c r="B49" s="2" t="s">
        <v>42</v>
      </c>
      <c r="C49" s="2" t="s">
        <v>26</v>
      </c>
      <c r="D49" s="2">
        <v>3</v>
      </c>
      <c r="E49" s="3">
        <v>46069.479166666664</v>
      </c>
      <c r="F49" s="3">
        <v>46069.833333333336</v>
      </c>
      <c r="G49" s="2">
        <v>8.5</v>
      </c>
      <c r="H49" s="2">
        <v>0.75</v>
      </c>
      <c r="I49" s="2" t="s">
        <v>20</v>
      </c>
      <c r="J49" s="2" t="s">
        <v>27</v>
      </c>
      <c r="K49" s="2" t="s">
        <v>22</v>
      </c>
      <c r="L49" s="2" t="s">
        <v>23</v>
      </c>
      <c r="M49" s="2">
        <v>0</v>
      </c>
      <c r="N49" s="2" t="s">
        <v>22</v>
      </c>
      <c r="O49" s="2" t="s">
        <v>23</v>
      </c>
      <c r="P49" s="2" t="s">
        <v>24</v>
      </c>
      <c r="Q49" s="2" t="str">
        <f t="shared" si="4"/>
        <v>On Time</v>
      </c>
    </row>
    <row r="50" spans="1:17" ht="28.8" x14ac:dyDescent="0.3">
      <c r="A50" s="2" t="s">
        <v>43</v>
      </c>
      <c r="B50" s="2" t="s">
        <v>42</v>
      </c>
      <c r="C50" s="2" t="s">
        <v>28</v>
      </c>
      <c r="D50" s="2">
        <v>4</v>
      </c>
      <c r="E50" s="3">
        <v>46069.864583333336</v>
      </c>
      <c r="F50" s="3">
        <v>46069.920138888891</v>
      </c>
      <c r="G50" s="2">
        <v>1.33</v>
      </c>
      <c r="H50" s="2">
        <v>0.5</v>
      </c>
      <c r="I50" s="2" t="s">
        <v>29</v>
      </c>
      <c r="J50" s="2" t="s">
        <v>21</v>
      </c>
      <c r="K50" s="2" t="s">
        <v>22</v>
      </c>
      <c r="L50" s="2" t="s">
        <v>23</v>
      </c>
      <c r="M50" s="2">
        <v>0</v>
      </c>
      <c r="N50" s="2" t="s">
        <v>22</v>
      </c>
      <c r="O50" s="2" t="s">
        <v>23</v>
      </c>
      <c r="P50" s="2" t="s">
        <v>24</v>
      </c>
      <c r="Q50" s="2" t="str">
        <f t="shared" si="4"/>
        <v>On Time</v>
      </c>
    </row>
    <row r="51" spans="1:17" ht="28.8" x14ac:dyDescent="0.3">
      <c r="A51" s="2" t="s">
        <v>43</v>
      </c>
      <c r="B51" s="2" t="s">
        <v>42</v>
      </c>
      <c r="C51" s="2" t="s">
        <v>30</v>
      </c>
      <c r="D51" s="2">
        <v>5</v>
      </c>
      <c r="E51" s="3">
        <v>46070.375</v>
      </c>
      <c r="F51" s="3">
        <v>46070.46875</v>
      </c>
      <c r="G51" s="2">
        <v>2.25</v>
      </c>
      <c r="H51" s="2">
        <v>1.25</v>
      </c>
      <c r="I51" s="2" t="s">
        <v>20</v>
      </c>
      <c r="J51" s="2" t="s">
        <v>27</v>
      </c>
      <c r="K51" s="2" t="s">
        <v>22</v>
      </c>
      <c r="L51" s="2" t="s">
        <v>23</v>
      </c>
      <c r="M51" s="2">
        <v>0</v>
      </c>
      <c r="N51" s="2" t="s">
        <v>22</v>
      </c>
      <c r="O51" s="2" t="s">
        <v>23</v>
      </c>
      <c r="P51" s="2" t="s">
        <v>24</v>
      </c>
      <c r="Q51" s="2" t="str">
        <f t="shared" si="4"/>
        <v>On Time</v>
      </c>
    </row>
    <row r="52" spans="1:17" ht="43.2" x14ac:dyDescent="0.3">
      <c r="A52" s="2" t="s">
        <v>43</v>
      </c>
      <c r="B52" s="2" t="s">
        <v>42</v>
      </c>
      <c r="C52" s="2" t="s">
        <v>33</v>
      </c>
      <c r="D52" s="2">
        <v>6</v>
      </c>
      <c r="E52" s="3">
        <v>46070.5625</v>
      </c>
      <c r="F52" s="3">
        <v>46070.8125</v>
      </c>
      <c r="G52" s="4">
        <v>6</v>
      </c>
      <c r="H52" s="2">
        <v>2.25</v>
      </c>
      <c r="I52" s="2" t="s">
        <v>20</v>
      </c>
      <c r="J52" s="2" t="s">
        <v>27</v>
      </c>
      <c r="K52" s="2" t="s">
        <v>31</v>
      </c>
      <c r="L52" s="2" t="s">
        <v>46</v>
      </c>
      <c r="M52" s="2">
        <v>1.75</v>
      </c>
      <c r="N52" s="2" t="s">
        <v>31</v>
      </c>
      <c r="O52" s="2" t="s">
        <v>30</v>
      </c>
      <c r="P52" s="2" t="s">
        <v>24</v>
      </c>
      <c r="Q52" s="2" t="str">
        <f t="shared" si="4"/>
        <v>Delayed</v>
      </c>
    </row>
    <row r="53" spans="1:17" ht="28.8" x14ac:dyDescent="0.3">
      <c r="A53" s="2" t="s">
        <v>43</v>
      </c>
      <c r="B53" s="2" t="s">
        <v>42</v>
      </c>
      <c r="C53" s="2" t="s">
        <v>35</v>
      </c>
      <c r="D53" s="2">
        <v>7</v>
      </c>
      <c r="E53" s="3">
        <v>46071.427083333336</v>
      </c>
      <c r="F53" s="3">
        <v>46071.458333333336</v>
      </c>
      <c r="G53" s="2">
        <v>0.75</v>
      </c>
      <c r="H53" s="2">
        <v>0.5</v>
      </c>
      <c r="I53" s="2" t="s">
        <v>20</v>
      </c>
      <c r="J53" s="2" t="s">
        <v>21</v>
      </c>
      <c r="K53" s="2" t="s">
        <v>22</v>
      </c>
      <c r="L53" s="2" t="s">
        <v>23</v>
      </c>
      <c r="M53" s="2">
        <v>0</v>
      </c>
      <c r="N53" s="2" t="s">
        <v>22</v>
      </c>
      <c r="O53" s="2" t="s">
        <v>23</v>
      </c>
      <c r="P53" s="2" t="s">
        <v>24</v>
      </c>
      <c r="Q53" s="2" t="str">
        <f t="shared" si="4"/>
        <v>On Time</v>
      </c>
    </row>
    <row r="54" spans="1:17" ht="28.8" x14ac:dyDescent="0.3">
      <c r="A54" s="2" t="s">
        <v>43</v>
      </c>
      <c r="B54" s="2" t="s">
        <v>42</v>
      </c>
      <c r="C54" s="2" t="s">
        <v>36</v>
      </c>
      <c r="D54" s="2">
        <v>8</v>
      </c>
      <c r="E54" s="3">
        <v>46071.479166666664</v>
      </c>
      <c r="F54" s="3">
        <v>46071.510416666664</v>
      </c>
      <c r="G54" s="2">
        <v>0.75</v>
      </c>
      <c r="H54" s="2">
        <v>0.5</v>
      </c>
      <c r="I54" s="2" t="s">
        <v>20</v>
      </c>
      <c r="J54" s="2" t="s">
        <v>21</v>
      </c>
      <c r="K54" s="2" t="s">
        <v>22</v>
      </c>
      <c r="L54" s="2" t="s">
        <v>23</v>
      </c>
      <c r="M54" s="2">
        <v>0</v>
      </c>
      <c r="N54" s="2" t="s">
        <v>22</v>
      </c>
      <c r="O54" s="2" t="s">
        <v>23</v>
      </c>
      <c r="P54" s="2" t="s">
        <v>24</v>
      </c>
      <c r="Q54" s="2" t="str">
        <f t="shared" si="4"/>
        <v>On Time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FCA3-58C4-4950-B06E-DA44926EAF31}">
  <dimension ref="A1:L13"/>
  <sheetViews>
    <sheetView workbookViewId="0">
      <selection activeCell="H9" sqref="H9"/>
    </sheetView>
  </sheetViews>
  <sheetFormatPr defaultRowHeight="14.4" x14ac:dyDescent="0.3"/>
  <cols>
    <col min="1" max="1" width="14.109375" customWidth="1"/>
    <col min="2" max="2" width="14.88671875" customWidth="1"/>
    <col min="3" max="3" width="20.44140625" customWidth="1"/>
    <col min="4" max="4" width="20.33203125" customWidth="1"/>
    <col min="5" max="5" width="18.21875" customWidth="1"/>
    <col min="6" max="6" width="17.109375" customWidth="1"/>
    <col min="7" max="7" width="22.33203125" customWidth="1"/>
    <col min="8" max="8" width="16.6640625" customWidth="1"/>
  </cols>
  <sheetData>
    <row r="1" spans="1:12" ht="28.8" x14ac:dyDescent="0.3">
      <c r="A1" s="1" t="s">
        <v>53</v>
      </c>
      <c r="B1" s="1" t="s">
        <v>0</v>
      </c>
      <c r="C1" s="1" t="s">
        <v>1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/>
      <c r="K1" s="1"/>
      <c r="L1" s="1"/>
    </row>
    <row r="2" spans="1:12" ht="28.8" x14ac:dyDescent="0.3">
      <c r="A2" s="2">
        <f t="shared" ref="A2:A7" ca="1" si="0">TRIM(SUBSTITUTE(A2,CHAR(160),""))</f>
        <v>0</v>
      </c>
      <c r="B2" s="2" t="s">
        <v>17</v>
      </c>
      <c r="C2" s="2" t="s">
        <v>18</v>
      </c>
      <c r="D2" s="2">
        <v>23.5</v>
      </c>
      <c r="E2" s="2">
        <v>6.25</v>
      </c>
      <c r="F2" s="2">
        <v>2</v>
      </c>
      <c r="G2" s="2" t="s">
        <v>31</v>
      </c>
      <c r="H2" s="2">
        <v>2.75</v>
      </c>
      <c r="I2" s="2" t="s">
        <v>33</v>
      </c>
      <c r="J2" s="2"/>
      <c r="K2" s="2"/>
      <c r="L2" s="2"/>
    </row>
    <row r="3" spans="1:12" ht="28.8" x14ac:dyDescent="0.3">
      <c r="A3" s="2">
        <f t="shared" ca="1" si="0"/>
        <v>0</v>
      </c>
      <c r="B3" s="2" t="s">
        <v>37</v>
      </c>
      <c r="C3" s="2" t="s">
        <v>39</v>
      </c>
      <c r="D3" s="2">
        <v>18</v>
      </c>
      <c r="E3" s="2">
        <v>4</v>
      </c>
      <c r="F3" s="2">
        <v>1.5</v>
      </c>
      <c r="G3" s="2" t="s">
        <v>22</v>
      </c>
      <c r="H3" s="2">
        <v>0</v>
      </c>
      <c r="I3" s="2" t="s">
        <v>33</v>
      </c>
      <c r="J3" s="2"/>
      <c r="K3" s="2"/>
      <c r="L3" s="2"/>
    </row>
    <row r="4" spans="1:12" ht="28.8" x14ac:dyDescent="0.3">
      <c r="A4" s="2">
        <f t="shared" ca="1" si="0"/>
        <v>0</v>
      </c>
      <c r="B4" s="2" t="s">
        <v>38</v>
      </c>
      <c r="C4" s="2" t="s">
        <v>42</v>
      </c>
      <c r="D4" s="2">
        <v>21.42</v>
      </c>
      <c r="E4" s="2">
        <v>5</v>
      </c>
      <c r="F4" s="2">
        <v>2.75</v>
      </c>
      <c r="G4" s="2" t="s">
        <v>22</v>
      </c>
      <c r="H4" s="2">
        <v>0</v>
      </c>
      <c r="I4" s="2" t="s">
        <v>33</v>
      </c>
      <c r="J4" s="2"/>
      <c r="K4" s="2"/>
      <c r="L4" s="2"/>
    </row>
    <row r="5" spans="1:12" ht="28.8" x14ac:dyDescent="0.3">
      <c r="A5" s="2">
        <f t="shared" ca="1" si="0"/>
        <v>0</v>
      </c>
      <c r="B5" s="2" t="s">
        <v>40</v>
      </c>
      <c r="C5" s="2" t="s">
        <v>18</v>
      </c>
      <c r="D5" s="2">
        <v>21.83</v>
      </c>
      <c r="E5" s="2">
        <v>6.75</v>
      </c>
      <c r="F5" s="2">
        <v>2</v>
      </c>
      <c r="G5" s="2" t="s">
        <v>31</v>
      </c>
      <c r="H5" s="2">
        <v>1.5</v>
      </c>
      <c r="I5" s="2" t="s">
        <v>33</v>
      </c>
      <c r="J5" s="2"/>
      <c r="K5" s="2"/>
      <c r="L5" s="2"/>
    </row>
    <row r="6" spans="1:12" ht="28.8" x14ac:dyDescent="0.3">
      <c r="A6" s="2">
        <f t="shared" ca="1" si="0"/>
        <v>0</v>
      </c>
      <c r="B6" s="2" t="s">
        <v>41</v>
      </c>
      <c r="C6" s="2" t="s">
        <v>39</v>
      </c>
      <c r="D6" s="2">
        <v>19.920000000000002</v>
      </c>
      <c r="E6" s="2">
        <v>5.75</v>
      </c>
      <c r="F6" s="2">
        <v>1.5</v>
      </c>
      <c r="G6" s="2" t="s">
        <v>31</v>
      </c>
      <c r="H6" s="2">
        <v>1.25</v>
      </c>
      <c r="I6" s="2" t="s">
        <v>33</v>
      </c>
      <c r="J6" s="2"/>
      <c r="K6" s="2"/>
      <c r="L6" s="2"/>
    </row>
    <row r="7" spans="1:12" ht="28.8" x14ac:dyDescent="0.3">
      <c r="A7" s="2">
        <f t="shared" ca="1" si="0"/>
        <v>0</v>
      </c>
      <c r="B7" s="2" t="s">
        <v>43</v>
      </c>
      <c r="C7" s="2" t="s">
        <v>42</v>
      </c>
      <c r="D7" s="2">
        <v>23.74</v>
      </c>
      <c r="E7" s="2">
        <v>7.75</v>
      </c>
      <c r="F7" s="2">
        <v>2.25</v>
      </c>
      <c r="G7" s="2" t="s">
        <v>31</v>
      </c>
      <c r="H7" s="2">
        <v>1.75</v>
      </c>
      <c r="I7" s="2" t="s">
        <v>33</v>
      </c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7671-4BED-41A1-AC65-FD1EAD47D3C1}">
  <dimension ref="A1:A7"/>
  <sheetViews>
    <sheetView topLeftCell="A7" workbookViewId="0">
      <selection sqref="A1:A7"/>
    </sheetView>
  </sheetViews>
  <sheetFormatPr defaultRowHeight="14.4" x14ac:dyDescent="0.3"/>
  <sheetData>
    <row r="1" spans="1:1" x14ac:dyDescent="0.3">
      <c r="A1" s="1" t="s">
        <v>0</v>
      </c>
    </row>
    <row r="2" spans="1:1" ht="28.8" x14ac:dyDescent="0.3">
      <c r="A2" s="2" t="s">
        <v>17</v>
      </c>
    </row>
    <row r="3" spans="1:1" ht="28.8" x14ac:dyDescent="0.3">
      <c r="A3" s="2" t="s">
        <v>37</v>
      </c>
    </row>
    <row r="4" spans="1:1" ht="28.8" x14ac:dyDescent="0.3">
      <c r="A4" s="2" t="s">
        <v>38</v>
      </c>
    </row>
    <row r="5" spans="1:1" ht="28.8" x14ac:dyDescent="0.3">
      <c r="A5" s="2" t="s">
        <v>40</v>
      </c>
    </row>
    <row r="6" spans="1:1" ht="28.8" x14ac:dyDescent="0.3">
      <c r="A6" s="2" t="s">
        <v>41</v>
      </c>
    </row>
    <row r="7" spans="1:1" ht="28.8" x14ac:dyDescent="0.3">
      <c r="A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Process_Data</vt:lpstr>
      <vt:lpstr>Batch Summary_Data</vt:lpstr>
      <vt:lpstr>Batch_Master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Aanya Ahluwalia</dc:creator>
  <cp:lastModifiedBy>Aanya Ahluwalia</cp:lastModifiedBy>
  <dcterms:created xsi:type="dcterms:W3CDTF">2026-01-11T06:14:51Z</dcterms:created>
  <dcterms:modified xsi:type="dcterms:W3CDTF">2026-03-01T14:28:39Z</dcterms:modified>
</cp:coreProperties>
</file>